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FE" sheetId="1" r:id="rId1"/>
    <sheet name="Coefficients" sheetId="2" r:id="rId2"/>
    <sheet name="WFE BD" sheetId="3" r:id="rId3"/>
    <sheet name="PSD" sheetId="4" r:id="rId4"/>
    <sheet name="StrTherm" sheetId="5" r:id="rId5"/>
    <sheet name="Log" sheetId="6" r:id="rId6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00E+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2" borderId="0" xfId="0" applyNumberFormat="1" applyFill="1"/>
    <xf numFmtId="164" fontId="1" fillId="2" borderId="0" xfId="0" applyNumberFormat="1" applyFont="1" applyFill="1"/>
    <xf numFmtId="166" fontId="0" fillId="2" borderId="0" xfId="0" applyNumberFormat="1" applyFill="1"/>
    <xf numFmtId="165" fontId="1" fillId="2" borderId="0" xfId="0" applyNumberFormat="1" applyFont="1" applyFill="1"/>
    <xf numFmtId="166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34" customWidth="1"/>
    <col min="3" max="3" width="12" customWidth="1"/>
    <col min="4" max="4" width="9" customWidth="1"/>
    <col min="5" max="5" width="12" customWidth="1"/>
    <col min="6" max="6" width="12" customWidth="1"/>
    <col min="7" max="7" width="12" customWidth="1"/>
    <col min="8" max="8" width="9" customWidth="1"/>
    <col min="9" max="9" width="13" customWidth="1"/>
    <col min="10" max="10" width="13" customWidth="1"/>
    <col min="11" max="11" width="14" customWidth="1"/>
  </cols>
  <sheetData>
    <row r="1">
      <c r="A1" s="1">
        <v>46322</v>
      </c>
      <c r="B1" s="1" t="inlineStr">
        <is>
          <t xml:space="preserve">e5hex1 WFE budget</t>
        </is>
      </c>
      <c r="C1" s="1" t="inlineStr">
        <is>
          <t xml:space="preserve">Initial Alignment</t>
        </is>
      </c>
      <c r="G1" s="1" t="inlineStr">
        <is>
          <t xml:space="preserve">Metrology Control</t>
        </is>
      </c>
      <c r="K1" s="1" t="inlineStr">
        <is>
          <t xml:space="preserve">Total WFE</t>
        </is>
      </c>
      <c r="M1" t="inlineStr">
        <is>
          <t xml:space="preserve">white cells = inputs you edit; gray cells = formulas (computed)</t>
        </is>
      </c>
    </row>
    <row r="2">
      <c r="B2" s="1" t="inlineStr">
        <is>
          <t xml:space="preserve">Degree of Freedom</t>
        </is>
      </c>
      <c r="C2" s="1" t="inlineStr">
        <is>
          <t xml:space="preserve">Inputs</t>
        </is>
      </c>
      <c r="E2" s="1" t="inlineStr">
        <is>
          <t xml:space="preserve">RMS WFE (nm)</t>
        </is>
      </c>
      <c r="G2" s="1" t="inlineStr">
        <is>
          <t xml:space="preserve">Drift Inputs</t>
        </is>
      </c>
      <c r="I2" s="1" t="inlineStr">
        <is>
          <t xml:space="preserve">RMS WFE (nm)</t>
        </is>
      </c>
      <c r="K2" s="1" t="inlineStr">
        <is>
          <t xml:space="preserve">Post Metrology</t>
        </is>
      </c>
    </row>
    <row r="3">
      <c r="C3" s="1" t="inlineStr">
        <is>
          <t xml:space="preserve">Values</t>
        </is>
      </c>
      <c r="D3" s="1" t="inlineStr">
        <is>
          <t xml:space="preserve">Units</t>
        </is>
      </c>
      <c r="E3" s="1" t="inlineStr">
        <is>
          <t xml:space="preserve">Pre WFC</t>
        </is>
      </c>
      <c r="F3" s="1" t="inlineStr">
        <is>
          <t xml:space="preserve">Post WFC</t>
        </is>
      </c>
      <c r="G3" s="1" t="inlineStr">
        <is>
          <t xml:space="preserve">Values</t>
        </is>
      </c>
      <c r="H3" s="1" t="inlineStr">
        <is>
          <t xml:space="preserve">Units</t>
        </is>
      </c>
      <c r="I3" s="1" t="inlineStr">
        <is>
          <t xml:space="preserve">Pre-metrology</t>
        </is>
      </c>
      <c r="J3" s="1" t="inlineStr">
        <is>
          <t xml:space="preserve">Post-metrology</t>
        </is>
      </c>
      <c r="K3" s="1" t="inlineStr">
        <is>
          <t xml:space="preserve">RMS WFE (nm)</t>
        </is>
      </c>
    </row>
    <row r="4">
      <c r="A4" s="1" t="inlineStr">
        <is>
          <t xml:space="preserve">Primary Mirror</t>
        </is>
      </c>
      <c r="B4" t="inlineStr">
        <is>
          <t xml:space="preserve">PM Seg Tilt</t>
        </is>
      </c>
      <c r="C4" s="7">
        <v>50</v>
      </c>
      <c r="D4" t="inlineStr">
        <is>
          <t xml:space="preserve">nrad</t>
        </is>
      </c>
      <c r="E4" s="2">
        <f>C4*Coefficients!D4</f>
      </c>
      <c r="F4" s="2">
        <f>C4*Coefficients!E4</f>
      </c>
      <c r="G4" s="7">
        <v>0</v>
      </c>
      <c r="H4" t="inlineStr">
        <is>
          <t xml:space="preserve"/>
        </is>
      </c>
      <c r="I4" s="2">
        <f>G4*Coefficients!G4</f>
      </c>
      <c r="J4" s="2">
        <f>G4*Coefficients!H4</f>
      </c>
      <c r="K4" s="2">
        <f>SQRT(SUMSQ(F4,J4))</f>
      </c>
    </row>
    <row r="5">
      <c r="B5" t="inlineStr">
        <is>
          <t xml:space="preserve">PM Seg Clocking</t>
        </is>
      </c>
      <c r="C5" s="7">
        <v>100</v>
      </c>
      <c r="D5" t="inlineStr">
        <is>
          <t xml:space="preserve">nrad</t>
        </is>
      </c>
      <c r="E5" s="2">
        <f>C5*Coefficients!D5</f>
      </c>
      <c r="F5" s="2">
        <f>C5*Coefficients!E5</f>
      </c>
      <c r="G5" s="7">
        <v>0</v>
      </c>
      <c r="H5" t="inlineStr">
        <is>
          <t xml:space="preserve"/>
        </is>
      </c>
      <c r="I5" s="2">
        <f>G5*Coefficients!G5</f>
      </c>
      <c r="J5" s="2">
        <f>G5*Coefficients!H5</f>
      </c>
      <c r="K5" s="2">
        <f>SQRT(SUMSQ(F5,J5))</f>
      </c>
    </row>
    <row r="6">
      <c r="B6" t="inlineStr">
        <is>
          <t xml:space="preserve">PM Seg Decenter</t>
        </is>
      </c>
      <c r="C6" s="7">
        <v>100</v>
      </c>
      <c r="D6" t="inlineStr">
        <is>
          <t xml:space="preserve">nm</t>
        </is>
      </c>
      <c r="E6" s="2">
        <f>C6*Coefficients!D6</f>
      </c>
      <c r="F6" s="2">
        <f>C6*Coefficients!E6</f>
      </c>
      <c r="G6" s="7">
        <v>0</v>
      </c>
      <c r="H6" t="inlineStr">
        <is>
          <t xml:space="preserve"/>
        </is>
      </c>
      <c r="I6" s="2">
        <f>G6*Coefficients!G6</f>
      </c>
      <c r="J6" s="2">
        <f>G6*Coefficients!H6</f>
      </c>
      <c r="K6" s="2">
        <f>SQRT(SUMSQ(F6,J6))</f>
      </c>
    </row>
    <row r="7">
      <c r="B7" t="inlineStr">
        <is>
          <t xml:space="preserve">PM Seg Piston</t>
        </is>
      </c>
      <c r="C7" s="7">
        <v>115.47005383792516</v>
      </c>
      <c r="D7" t="inlineStr">
        <is>
          <t xml:space="preserve">nm</t>
        </is>
      </c>
      <c r="E7" s="2">
        <f>C7*Coefficients!D7</f>
      </c>
      <c r="F7" s="2">
        <f>C7*Coefficients!E7</f>
      </c>
      <c r="G7" s="7">
        <v>0</v>
      </c>
      <c r="H7" t="inlineStr">
        <is>
          <t xml:space="preserve"/>
        </is>
      </c>
      <c r="I7" s="2">
        <f>G7*Coefficients!G7</f>
      </c>
      <c r="J7" s="2">
        <f>G7*Coefficients!H7</f>
      </c>
      <c r="K7" s="2">
        <f>SQRT(SUMSQ(F7,J7))</f>
      </c>
    </row>
    <row r="8">
      <c r="A8" s="1" t="inlineStr">
        <is>
          <t xml:space="preserve">Secondary Mirror</t>
        </is>
      </c>
      <c r="B8" t="inlineStr">
        <is>
          <t xml:space="preserve">SM Tilt</t>
        </is>
      </c>
      <c r="C8" s="7">
        <v>50</v>
      </c>
      <c r="D8" t="inlineStr">
        <is>
          <t xml:space="preserve">nrad</t>
        </is>
      </c>
      <c r="E8" s="2">
        <f>C8*Coefficients!D8</f>
      </c>
      <c r="F8" s="2">
        <f>C8*Coefficients!E8</f>
      </c>
      <c r="G8" s="7">
        <v>0</v>
      </c>
      <c r="H8" t="inlineStr">
        <is>
          <t xml:space="preserve"/>
        </is>
      </c>
      <c r="I8" s="2">
        <f>G8*Coefficients!G8</f>
      </c>
      <c r="J8" s="2">
        <f>G8*Coefficients!H8</f>
      </c>
      <c r="K8" s="2">
        <f>SQRT(SUMSQ(F8,J8))</f>
      </c>
    </row>
    <row r="9">
      <c r="B9" t="inlineStr">
        <is>
          <t xml:space="preserve">SM Clocking</t>
        </is>
      </c>
      <c r="C9" s="7">
        <v>100</v>
      </c>
      <c r="D9" t="inlineStr">
        <is>
          <t xml:space="preserve">nrad</t>
        </is>
      </c>
      <c r="E9" s="2">
        <f>C9*Coefficients!D9</f>
      </c>
      <c r="F9" s="2">
        <f>C9*Coefficients!E9</f>
      </c>
      <c r="G9" s="7">
        <v>0</v>
      </c>
      <c r="H9" t="inlineStr">
        <is>
          <t xml:space="preserve"/>
        </is>
      </c>
      <c r="I9" s="2">
        <f>G9*Coefficients!G9</f>
      </c>
      <c r="J9" s="2">
        <f>G9*Coefficients!H9</f>
      </c>
      <c r="K9" s="2">
        <f>SQRT(SUMSQ(F9,J9))</f>
      </c>
    </row>
    <row r="10">
      <c r="B10" t="inlineStr">
        <is>
          <t xml:space="preserve">SM Decenter</t>
        </is>
      </c>
      <c r="C10" s="7">
        <v>100</v>
      </c>
      <c r="D10" t="inlineStr">
        <is>
          <t xml:space="preserve">nm</t>
        </is>
      </c>
      <c r="E10" s="2">
        <f>C10*Coefficients!D10</f>
      </c>
      <c r="F10" s="2">
        <f>C10*Coefficients!E10</f>
      </c>
      <c r="G10" s="7">
        <v>0</v>
      </c>
      <c r="H10" t="inlineStr">
        <is>
          <t xml:space="preserve"/>
        </is>
      </c>
      <c r="I10" s="2">
        <f>G10*Coefficients!G10</f>
      </c>
      <c r="J10" s="2">
        <f>G10*Coefficients!H10</f>
      </c>
      <c r="K10" s="2">
        <f>SQRT(SUMSQ(F10,J10))</f>
      </c>
    </row>
    <row r="11">
      <c r="B11" t="inlineStr">
        <is>
          <t xml:space="preserve">SM Despace</t>
        </is>
      </c>
      <c r="C11" s="7">
        <v>115.47005383792516</v>
      </c>
      <c r="D11" t="inlineStr">
        <is>
          <t xml:space="preserve">nm</t>
        </is>
      </c>
      <c r="E11" s="2">
        <f>C11*Coefficients!D11</f>
      </c>
      <c r="F11" s="2">
        <f>C11*Coefficients!E11</f>
      </c>
      <c r="G11" s="7">
        <v>0</v>
      </c>
      <c r="H11" t="inlineStr">
        <is>
          <t xml:space="preserve"/>
        </is>
      </c>
      <c r="I11" s="2">
        <f>G11*Coefficients!G11</f>
      </c>
      <c r="J11" s="2">
        <f>G11*Coefficients!H11</f>
      </c>
      <c r="K11" s="2">
        <f>SQRT(SUMSQ(F11,J11))</f>
      </c>
    </row>
    <row r="12">
      <c r="A12" s="1" t="inlineStr">
        <is>
          <t xml:space="preserve">Lens</t>
        </is>
      </c>
      <c r="B12" t="inlineStr">
        <is>
          <t xml:space="preserve">Lens Tilt</t>
        </is>
      </c>
      <c r="C12" s="7">
        <v>50</v>
      </c>
      <c r="D12" t="inlineStr">
        <is>
          <t xml:space="preserve">nrad</t>
        </is>
      </c>
      <c r="E12" s="2">
        <f>C12*Coefficients!D12</f>
      </c>
      <c r="F12" s="2">
        <f>C12*Coefficients!E12</f>
      </c>
      <c r="G12" s="7">
        <v>0</v>
      </c>
      <c r="H12" t="inlineStr">
        <is>
          <t xml:space="preserve"/>
        </is>
      </c>
      <c r="I12" s="2">
        <f>G12*Coefficients!G12</f>
      </c>
      <c r="J12" s="2">
        <f>G12*Coefficients!H12</f>
      </c>
      <c r="K12" s="2">
        <f>SQRT(SUMSQ(F12,J12))</f>
      </c>
    </row>
    <row r="13">
      <c r="B13" t="inlineStr">
        <is>
          <t xml:space="preserve">Lens Clocking</t>
        </is>
      </c>
      <c r="C13" s="7">
        <v>100</v>
      </c>
      <c r="D13" t="inlineStr">
        <is>
          <t xml:space="preserve">nrad</t>
        </is>
      </c>
      <c r="E13" s="2">
        <f>C13*Coefficients!D13</f>
      </c>
      <c r="F13" s="2">
        <f>C13*Coefficients!E13</f>
      </c>
      <c r="G13" s="7">
        <v>0</v>
      </c>
      <c r="H13" t="inlineStr">
        <is>
          <t xml:space="preserve"/>
        </is>
      </c>
      <c r="I13" s="2">
        <f>G13*Coefficients!G13</f>
      </c>
      <c r="J13" s="2">
        <f>G13*Coefficients!H13</f>
      </c>
      <c r="K13" s="2">
        <f>SQRT(SUMSQ(F13,J13))</f>
      </c>
    </row>
    <row r="14">
      <c r="B14" t="inlineStr">
        <is>
          <t xml:space="preserve">Lens Decenter</t>
        </is>
      </c>
      <c r="C14" s="7">
        <v>100</v>
      </c>
      <c r="D14" t="inlineStr">
        <is>
          <t xml:space="preserve">nm</t>
        </is>
      </c>
      <c r="E14" s="2">
        <f>C14*Coefficients!D14</f>
      </c>
      <c r="F14" s="2">
        <f>C14*Coefficients!E14</f>
      </c>
      <c r="G14" s="7">
        <v>0</v>
      </c>
      <c r="H14" t="inlineStr">
        <is>
          <t xml:space="preserve"/>
        </is>
      </c>
      <c r="I14" s="2">
        <f>G14*Coefficients!G14</f>
      </c>
      <c r="J14" s="2">
        <f>G14*Coefficients!H14</f>
      </c>
      <c r="K14" s="2">
        <f>SQRT(SUMSQ(F14,J14))</f>
      </c>
    </row>
    <row r="15">
      <c r="B15" t="inlineStr">
        <is>
          <t xml:space="preserve">Lens Despace</t>
        </is>
      </c>
      <c r="C15" s="7">
        <v>115.47005383792516</v>
      </c>
      <c r="D15" t="inlineStr">
        <is>
          <t xml:space="preserve">nm</t>
        </is>
      </c>
      <c r="E15" s="2">
        <f>C15*Coefficients!D15</f>
      </c>
      <c r="F15" s="2">
        <f>C15*Coefficients!E15</f>
      </c>
      <c r="G15" s="7">
        <v>0</v>
      </c>
      <c r="H15" t="inlineStr">
        <is>
          <t xml:space="preserve"/>
        </is>
      </c>
      <c r="I15" s="2">
        <f>G15*Coefficients!G15</f>
      </c>
      <c r="J15" s="2">
        <f>G15*Coefficients!H15</f>
      </c>
      <c r="K15" s="2">
        <f>SQRT(SUMSQ(F15,J15))</f>
      </c>
    </row>
    <row r="16">
      <c r="A16" s="1" t="inlineStr">
        <is>
          <t xml:space="preserve">Detector</t>
        </is>
      </c>
      <c r="B16" t="inlineStr">
        <is>
          <t xml:space="preserve">FPA Tilt</t>
        </is>
      </c>
      <c r="C16" s="7">
        <v>50</v>
      </c>
      <c r="D16" t="inlineStr">
        <is>
          <t xml:space="preserve">nrad</t>
        </is>
      </c>
      <c r="E16" s="2">
        <f>C16*Coefficients!D16</f>
      </c>
      <c r="F16" s="2">
        <f>C16*Coefficients!E16</f>
      </c>
      <c r="G16" s="7">
        <v>0</v>
      </c>
      <c r="H16" t="inlineStr">
        <is>
          <t xml:space="preserve"/>
        </is>
      </c>
      <c r="I16" s="2">
        <f>G16*Coefficients!G16</f>
      </c>
      <c r="J16" s="2">
        <f>G16*Coefficients!H16</f>
      </c>
      <c r="K16" s="2">
        <f>SQRT(SUMSQ(F16,J16))</f>
      </c>
    </row>
    <row r="17">
      <c r="B17" t="inlineStr">
        <is>
          <t xml:space="preserve">FPA Clocking</t>
        </is>
      </c>
      <c r="C17" s="7">
        <v>100</v>
      </c>
      <c r="D17" t="inlineStr">
        <is>
          <t xml:space="preserve">nrad</t>
        </is>
      </c>
      <c r="E17" s="2">
        <f>C17*Coefficients!D17</f>
      </c>
      <c r="F17" s="2">
        <f>C17*Coefficients!E17</f>
      </c>
      <c r="G17" s="7">
        <v>0</v>
      </c>
      <c r="H17" t="inlineStr">
        <is>
          <t xml:space="preserve"/>
        </is>
      </c>
      <c r="I17" s="2">
        <f>G17*Coefficients!G17</f>
      </c>
      <c r="J17" s="2">
        <f>G17*Coefficients!H17</f>
      </c>
      <c r="K17" s="2">
        <f>SQRT(SUMSQ(F17,J17))</f>
      </c>
    </row>
    <row r="18">
      <c r="B18" t="inlineStr">
        <is>
          <t xml:space="preserve">FPA Decenter</t>
        </is>
      </c>
      <c r="C18" s="7">
        <v>100</v>
      </c>
      <c r="D18" t="inlineStr">
        <is>
          <t xml:space="preserve">nm</t>
        </is>
      </c>
      <c r="E18" s="2">
        <f>C18*Coefficients!D18</f>
      </c>
      <c r="F18" s="2">
        <f>C18*Coefficients!E18</f>
      </c>
      <c r="G18" s="7">
        <v>0</v>
      </c>
      <c r="H18" t="inlineStr">
        <is>
          <t xml:space="preserve"/>
        </is>
      </c>
      <c r="I18" s="2">
        <f>G18*Coefficients!G18</f>
      </c>
      <c r="J18" s="2">
        <f>G18*Coefficients!H18</f>
      </c>
      <c r="K18" s="2">
        <f>SQRT(SUMSQ(F18,J18))</f>
      </c>
    </row>
    <row r="19">
      <c r="B19" t="inlineStr">
        <is>
          <t xml:space="preserve">FPA Despace</t>
        </is>
      </c>
      <c r="C19" s="7">
        <v>115.47005383792516</v>
      </c>
      <c r="D19" t="inlineStr">
        <is>
          <t xml:space="preserve">nm</t>
        </is>
      </c>
      <c r="E19" s="2">
        <f>C19*Coefficients!D19</f>
      </c>
      <c r="F19" s="2">
        <f>C19*Coefficients!E19</f>
      </c>
      <c r="G19" s="7">
        <v>0</v>
      </c>
      <c r="H19" t="inlineStr">
        <is>
          <t xml:space="preserve"/>
        </is>
      </c>
      <c r="I19" s="2">
        <f>G19*Coefficients!G19</f>
      </c>
      <c r="J19" s="2">
        <f>G19*Coefficients!H19</f>
      </c>
      <c r="K19" s="2">
        <f>SQRT(SUMSQ(F19,J19))</f>
      </c>
    </row>
    <row r="20">
      <c r="A20" s="1" t="inlineStr">
        <is>
          <t xml:space="preserve">WFC</t>
        </is>
      </c>
      <c r="B20" t="inlineStr">
        <is>
          <t xml:space="preserve">WFS Sensing Error</t>
        </is>
      </c>
      <c r="C20" s="7">
        <v>3</v>
      </c>
      <c r="D20" t="inlineStr">
        <is>
          <t xml:space="preserve">nm</t>
        </is>
      </c>
      <c r="E20" s="2">
        <f>C20*Coefficients!D20</f>
      </c>
      <c r="F20" s="2">
        <f>C20*Coefficients!E20</f>
      </c>
      <c r="G20" s="7">
        <v>0</v>
      </c>
      <c r="H20" t="inlineStr">
        <is>
          <t xml:space="preserve"/>
        </is>
      </c>
      <c r="I20" s="2">
        <f>G20*Coefficients!G20</f>
      </c>
      <c r="J20" s="2">
        <f>G20*Coefficients!H20</f>
      </c>
      <c r="K20" s="2">
        <f>SQRT(SUMSQ(F20,J20))</f>
      </c>
    </row>
    <row r="21">
      <c r="B21" t="inlineStr">
        <is>
          <t xml:space="preserve">PM Seg Tilt Actuator</t>
        </is>
      </c>
      <c r="C21" s="7">
        <v>0.66193024493078101</v>
      </c>
      <c r="D21" t="inlineStr">
        <is>
          <t xml:space="preserve">nrad</t>
        </is>
      </c>
      <c r="E21" s="2">
        <f>C21*Coefficients!D21</f>
      </c>
      <c r="F21" s="2">
        <f>C21*Coefficients!E21</f>
      </c>
      <c r="G21" s="7">
        <v>0</v>
      </c>
      <c r="H21" t="inlineStr">
        <is>
          <t xml:space="preserve"/>
        </is>
      </c>
      <c r="I21" s="2">
        <f>G21*Coefficients!G21</f>
      </c>
      <c r="J21" s="2">
        <f>G21*Coefficients!H21</f>
      </c>
      <c r="K21" s="2">
        <f>SQRT(SUMSQ(F21,J21))</f>
      </c>
    </row>
    <row r="22">
      <c r="B22" t="inlineStr">
        <is>
          <t xml:space="preserve">PM Seg Clocking Actuator</t>
        </is>
      </c>
      <c r="C22" s="7">
        <v>0.66193024493078101</v>
      </c>
      <c r="D22" t="inlineStr">
        <is>
          <t xml:space="preserve">nrad</t>
        </is>
      </c>
      <c r="E22" s="2">
        <f>C22*Coefficients!D22</f>
      </c>
      <c r="F22" s="2">
        <f>C22*Coefficients!E22</f>
      </c>
      <c r="G22" s="7">
        <v>0</v>
      </c>
      <c r="H22" t="inlineStr">
        <is>
          <t xml:space="preserve"/>
        </is>
      </c>
      <c r="I22" s="2">
        <f>G22*Coefficients!G22</f>
      </c>
      <c r="J22" s="2">
        <f>G22*Coefficients!H22</f>
      </c>
      <c r="K22" s="2">
        <f>SQRT(SUMSQ(F22,J22))</f>
      </c>
    </row>
    <row r="23">
      <c r="B23" t="inlineStr">
        <is>
          <t xml:space="preserve">PM Seg Decenter Actuator</t>
        </is>
      </c>
      <c r="C23" s="7">
        <v>1</v>
      </c>
      <c r="D23" t="inlineStr">
        <is>
          <t xml:space="preserve">nm</t>
        </is>
      </c>
      <c r="E23" s="2">
        <f>C23*Coefficients!D23</f>
      </c>
      <c r="F23" s="2">
        <f>C23*Coefficients!E23</f>
      </c>
      <c r="G23" s="7">
        <v>0</v>
      </c>
      <c r="H23" t="inlineStr">
        <is>
          <t xml:space="preserve"/>
        </is>
      </c>
      <c r="I23" s="2">
        <f>G23*Coefficients!G23</f>
      </c>
      <c r="J23" s="2">
        <f>G23*Coefficients!H23</f>
      </c>
      <c r="K23" s="2">
        <f>SQRT(SUMSQ(F23,J23))</f>
      </c>
    </row>
    <row r="24">
      <c r="B24" t="inlineStr">
        <is>
          <t xml:space="preserve">PM Seg Piston Actuator</t>
        </is>
      </c>
      <c r="C24" s="7">
        <v>1</v>
      </c>
      <c r="D24" t="inlineStr">
        <is>
          <t xml:space="preserve">nm</t>
        </is>
      </c>
      <c r="E24" s="2">
        <f>C24*Coefficients!D24</f>
      </c>
      <c r="F24" s="2">
        <f>C24*Coefficients!E24</f>
      </c>
      <c r="G24" s="7">
        <v>0</v>
      </c>
      <c r="H24" t="inlineStr">
        <is>
          <t xml:space="preserve"/>
        </is>
      </c>
      <c r="I24" s="2">
        <f>G24*Coefficients!G24</f>
      </c>
      <c r="J24" s="2">
        <f>G24*Coefficients!H24</f>
      </c>
      <c r="K24" s="2">
        <f>SQRT(SUMSQ(F24,J24))</f>
      </c>
    </row>
    <row r="25">
      <c r="B25" t="inlineStr">
        <is>
          <t xml:space="preserve">SM Tilt Actuator</t>
        </is>
      </c>
      <c r="C25" s="7">
        <v>1.6260162601626018</v>
      </c>
      <c r="D25" t="inlineStr">
        <is>
          <t xml:space="preserve">nrad</t>
        </is>
      </c>
      <c r="E25" s="2">
        <f>C25*Coefficients!D25</f>
      </c>
      <c r="F25" s="2">
        <f>C25*Coefficients!E25</f>
      </c>
      <c r="G25" s="7">
        <v>0</v>
      </c>
      <c r="H25" t="inlineStr">
        <is>
          <t xml:space="preserve"/>
        </is>
      </c>
      <c r="I25" s="2">
        <f>G25*Coefficients!G25</f>
      </c>
      <c r="J25" s="2">
        <f>G25*Coefficients!H25</f>
      </c>
      <c r="K25" s="2">
        <f>SQRT(SUMSQ(F25,J25))</f>
      </c>
    </row>
    <row r="26">
      <c r="B26" t="inlineStr">
        <is>
          <t xml:space="preserve">SM Clocking Actuator</t>
        </is>
      </c>
      <c r="C26" s="7">
        <v>1.6260162601626018</v>
      </c>
      <c r="D26" t="inlineStr">
        <is>
          <t xml:space="preserve">nrad</t>
        </is>
      </c>
      <c r="E26" s="2">
        <f>C26*Coefficients!D26</f>
      </c>
      <c r="F26" s="2">
        <f>C26*Coefficients!E26</f>
      </c>
      <c r="G26" s="7">
        <v>0</v>
      </c>
      <c r="H26" t="inlineStr">
        <is>
          <t xml:space="preserve"/>
        </is>
      </c>
      <c r="I26" s="2">
        <f>G26*Coefficients!G26</f>
      </c>
      <c r="J26" s="2">
        <f>G26*Coefficients!H26</f>
      </c>
      <c r="K26" s="2">
        <f>SQRT(SUMSQ(F26,J26))</f>
      </c>
    </row>
    <row r="27">
      <c r="B27" t="inlineStr">
        <is>
          <t xml:space="preserve">SM Decenter Actuator</t>
        </is>
      </c>
      <c r="C27" s="7">
        <v>1</v>
      </c>
      <c r="D27" t="inlineStr">
        <is>
          <t xml:space="preserve">nm</t>
        </is>
      </c>
      <c r="E27" s="2">
        <f>C27*Coefficients!D27</f>
      </c>
      <c r="F27" s="2">
        <f>C27*Coefficients!E27</f>
      </c>
      <c r="G27" s="7">
        <v>0</v>
      </c>
      <c r="H27" t="inlineStr">
        <is>
          <t xml:space="preserve"/>
        </is>
      </c>
      <c r="I27" s="2">
        <f>G27*Coefficients!G27</f>
      </c>
      <c r="J27" s="2">
        <f>G27*Coefficients!H27</f>
      </c>
      <c r="K27" s="2">
        <f>SQRT(SUMSQ(F27,J27))</f>
      </c>
    </row>
    <row r="28">
      <c r="B28" t="inlineStr">
        <is>
          <t xml:space="preserve">SM Despace Actuator</t>
        </is>
      </c>
      <c r="C28" s="7">
        <v>1</v>
      </c>
      <c r="D28" t="inlineStr">
        <is>
          <t xml:space="preserve">nm</t>
        </is>
      </c>
      <c r="E28" s="2">
        <f>C28*Coefficients!D28</f>
      </c>
      <c r="F28" s="2">
        <f>C28*Coefficients!E28</f>
      </c>
      <c r="G28" s="7">
        <v>0</v>
      </c>
      <c r="H28" t="inlineStr">
        <is>
          <t xml:space="preserve"/>
        </is>
      </c>
      <c r="I28" s="2">
        <f>G28*Coefficients!G28</f>
      </c>
      <c r="J28" s="2">
        <f>G28*Coefficients!H28</f>
      </c>
      <c r="K28" s="2">
        <f>SQRT(SUMSQ(F28,J28))</f>
      </c>
    </row>
    <row r="30">
      <c r="A30" s="1" t="inlineStr">
        <is>
          <t xml:space="preserve">WFE Summary</t>
        </is>
      </c>
      <c r="B30" s="1" t="inlineStr">
        <is>
          <t xml:space="preserve">Primary Mirror WFE</t>
        </is>
      </c>
      <c r="E30" s="3">
        <f>SQRT(SUMSQ(E4:E7))</f>
      </c>
      <c r="F30" s="3">
        <f>SQRT(SUMSQ(F4:F7))</f>
      </c>
      <c r="I30" s="3">
        <f>SQRT(SUMSQ(I4:I7))</f>
      </c>
      <c r="J30" s="3">
        <f>SQRT(SUMSQ(J4:J7))</f>
      </c>
      <c r="K30" s="3">
        <f>SQRT(SUMSQ(K4:K7))</f>
      </c>
    </row>
    <row r="31">
      <c r="B31" s="1" t="inlineStr">
        <is>
          <t xml:space="preserve">Secondary Mirror WFE</t>
        </is>
      </c>
      <c r="E31" s="3">
        <f>SQRT(SUMSQ(E8:E11))</f>
      </c>
      <c r="F31" s="3">
        <f>SQRT(SUMSQ(F8:F11))</f>
      </c>
      <c r="I31" s="3">
        <f>SQRT(SUMSQ(I8:I11))</f>
      </c>
      <c r="J31" s="3">
        <f>SQRT(SUMSQ(J8:J11))</f>
      </c>
      <c r="K31" s="3">
        <f>SQRT(SUMSQ(K8:K11))</f>
      </c>
    </row>
    <row r="32">
      <c r="B32" s="1" t="inlineStr">
        <is>
          <t xml:space="preserve">Lens WFE</t>
        </is>
      </c>
      <c r="E32" s="3">
        <f>SQRT(SUMSQ(E12:E15))</f>
      </c>
      <c r="F32" s="3">
        <f>SQRT(SUMSQ(F12:F15))</f>
      </c>
      <c r="I32" s="3">
        <f>SQRT(SUMSQ(I12:I15))</f>
      </c>
      <c r="J32" s="3">
        <f>SQRT(SUMSQ(J12:J15))</f>
      </c>
      <c r="K32" s="3">
        <f>SQRT(SUMSQ(K12:K15))</f>
      </c>
    </row>
    <row r="33">
      <c r="B33" s="1" t="inlineStr">
        <is>
          <t xml:space="preserve">Detector WFE</t>
        </is>
      </c>
      <c r="E33" s="3">
        <f>SQRT(SUMSQ(E16:E19))</f>
      </c>
      <c r="F33" s="3">
        <f>SQRT(SUMSQ(F16:F19))</f>
      </c>
      <c r="I33" s="3">
        <f>SQRT(SUMSQ(I16:I19))</f>
      </c>
      <c r="J33" s="3">
        <f>SQRT(SUMSQ(J16:J19))</f>
      </c>
      <c r="K33" s="3">
        <f>SQRT(SUMSQ(K16:K19))</f>
      </c>
    </row>
    <row r="34">
      <c r="B34" s="1" t="inlineStr">
        <is>
          <t xml:space="preserve">WFC WFE</t>
        </is>
      </c>
      <c r="E34" s="3">
        <f>SQRT(SUMSQ(E20:E28))</f>
      </c>
      <c r="F34" s="3">
        <f>SQRT(SUMSQ(F20:F28))</f>
      </c>
      <c r="I34" s="3">
        <f>SQRT(SUMSQ(I20:I28))</f>
      </c>
      <c r="J34" s="3">
        <f>SQRT(SUMSQ(J20:J28))</f>
      </c>
      <c r="K34" s="3">
        <f>SQRT(SUMSQ(K20:K28))</f>
      </c>
    </row>
    <row r="35">
      <c r="B35" s="1" t="inlineStr">
        <is>
          <t xml:space="preserve">Everything Else</t>
        </is>
      </c>
      <c r="E35" s="3">
        <f>SQRT(SUMSQ(E8:E28))</f>
      </c>
      <c r="F35" s="3">
        <f>SQRT(SUMSQ(F8:F28))</f>
      </c>
      <c r="I35" s="3">
        <f>SQRT(SUMSQ(I8:I28))</f>
      </c>
      <c r="J35" s="3">
        <f>SQRT(SUMSQ(J8:J28))</f>
      </c>
      <c r="K35" s="3">
        <f>SQRT(SUMSQ(K8:K28))</f>
      </c>
    </row>
    <row r="36">
      <c r="B36" s="1" t="inlineStr">
        <is>
          <t xml:space="preserve">TOTAL</t>
        </is>
      </c>
      <c r="E36" s="3">
        <f>SQRT(SUMSQ(E4:E28))</f>
      </c>
      <c r="F36" s="3">
        <f>SQRT(SUMSQ(F4:F28))</f>
      </c>
      <c r="I36" s="3">
        <f>SQRT(SUMSQ(I4:I28))</f>
      </c>
      <c r="J36" s="3">
        <f>SQRT(SUMSQ(J4:J28))</f>
      </c>
      <c r="K36" s="3">
        <f>SQRT(SUMSQ(K4:K28))</f>
      </c>
    </row>
    <row r="37">
      <c r="B37" s="1" t="inlineStr">
        <is>
          <t xml:space="preserve">Design WFE</t>
        </is>
      </c>
      <c r="C37" s="7">
        <v>0</v>
      </c>
      <c r="D37" t="inlineStr">
        <is>
          <t xml:space="preserve">nm</t>
        </is>
      </c>
      <c r="F37" s="2">
        <f>C37</f>
      </c>
      <c r="K37" s="2">
        <f>SQRT(SUMSQ(F37,J37))</f>
      </c>
    </row>
    <row r="38">
      <c r="B38" s="1" t="inlineStr">
        <is>
          <t xml:space="preserve">Payload WFE</t>
        </is>
      </c>
      <c r="K38" s="3">
        <f>SQRT(SUMSQ(K36,K37))</f>
      </c>
    </row>
    <row r="39">
      <c r="B39" s="1" t="inlineStr">
        <is>
          <t xml:space="preserve">WFE Requirement</t>
        </is>
      </c>
      <c r="D39" t="inlineStr">
        <is>
          <t xml:space="preserve">nm</t>
        </is>
      </c>
      <c r="K39" s="2">
        <f>C39</f>
      </c>
    </row>
    <row r="40">
      <c r="B40" s="1" t="inlineStr">
        <is>
          <t xml:space="preserve">WFE Margin</t>
        </is>
      </c>
      <c r="K40" s="5">
        <f>IF(K39&gt;0,1-(K38/K39),"")</f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34" customWidth="1"/>
    <col min="3" max="3" width="9" customWidth="1"/>
    <col min="4" max="4" width="12" customWidth="1"/>
    <col min="5" max="5" width="12" customWidth="1"/>
    <col min="6" max="6" width="9" customWidth="1"/>
    <col min="7" max="7" width="12" customWidth="1"/>
    <col min="8" max="8" width="12" customWidth="1"/>
    <col min="9" max="9" width="2" customWidth="1"/>
    <col min="10" max="10" width="22" customWidth="1"/>
    <col min="11" max="11" width="14" customWidth="1"/>
    <col min="12" max="12" width="22" customWidth="1"/>
    <col min="13" max="13" width="14" customWidth="1"/>
    <col min="14" max="14" width="2" customWidth="1"/>
    <col min="15" max="15" width="22" customWidth="1"/>
    <col min="16" max="16" width="14" customWidth="1"/>
    <col min="17" max="17" width="22" customWidth="1"/>
    <col min="18" max="18" width="14" customWidth="1"/>
    <col min="19" max="19" width="2" customWidth="1"/>
    <col min="20" max="20" width="12" customWidth="1"/>
    <col min="21" max="21" width="12" customWidth="1"/>
  </cols>
  <sheetData>
    <row r="1">
      <c r="B1" s="1" t="inlineStr">
        <is>
          <t xml:space="preserve">Coefficients (nm RMS WFE per unit input)</t>
        </is>
      </c>
      <c r="J1" s="1" t="inlineStr">
        <is>
          <t xml:space="preserve">iSeq = 1 (WFC)</t>
        </is>
      </c>
      <c r="O1" s="1" t="inlineStr">
        <is>
          <t xml:space="preserve">iSeq = 2 (metrology)</t>
        </is>
      </c>
      <c r="T1" s="1" t="inlineStr">
        <is>
          <t xml:space="preserve">Monte-Carlo check (nm)</t>
        </is>
      </c>
    </row>
    <row r="3">
      <c r="B3" s="1" t="inlineStr">
        <is>
          <t xml:space="preserve">Degree of Freedom</t>
        </is>
      </c>
      <c r="C3" s="1" t="inlineStr">
        <is>
          <t xml:space="preserve">Units</t>
        </is>
      </c>
      <c r="D3" s="1" t="inlineStr">
        <is>
          <t xml:space="preserve">Pre WFC</t>
        </is>
      </c>
      <c r="E3" s="1" t="inlineStr">
        <is>
          <t xml:space="preserve">Post WFC</t>
        </is>
      </c>
      <c r="F3" s="1" t="inlineStr">
        <is>
          <t xml:space="preserve">Units</t>
        </is>
      </c>
      <c r="G3" s="1" t="inlineStr">
        <is>
          <t xml:space="preserve">Pre-MET</t>
        </is>
      </c>
      <c r="H3" s="1" t="inlineStr">
        <is>
          <t xml:space="preserve">Post-MET</t>
        </is>
      </c>
      <c r="J3" s="1" t="inlineStr">
        <is>
          <t xml:space="preserve">key</t>
        </is>
      </c>
      <c r="K3" s="1" t="inlineStr">
        <is>
          <t xml:space="preserve">pre</t>
        </is>
      </c>
      <c r="L3" s="1" t="inlineStr">
        <is>
          <t xml:space="preserve">key</t>
        </is>
      </c>
      <c r="M3" s="1" t="inlineStr">
        <is>
          <t xml:space="preserve">post</t>
        </is>
      </c>
      <c r="O3" s="1" t="inlineStr">
        <is>
          <t xml:space="preserve">key</t>
        </is>
      </c>
      <c r="P3" s="1" t="inlineStr">
        <is>
          <t xml:space="preserve">pre</t>
        </is>
      </c>
      <c r="Q3" s="1" t="inlineStr">
        <is>
          <t xml:space="preserve">key</t>
        </is>
      </c>
      <c r="R3" s="1" t="inlineStr">
        <is>
          <t xml:space="preserve">post</t>
        </is>
      </c>
      <c r="T3" s="1" t="inlineStr">
        <is>
          <t xml:space="preserve">post-WFC</t>
        </is>
      </c>
      <c r="U3" s="1" t="inlineStr">
        <is>
          <t xml:space="preserve">post-MET</t>
        </is>
      </c>
    </row>
    <row r="4">
      <c r="B4" t="inlineStr">
        <is>
          <t xml:space="preserve">PM Seg Tilt</t>
        </is>
      </c>
      <c r="C4" t="inlineStr">
        <is>
          <t xml:space="preserve">nrad</t>
        </is>
      </c>
      <c r="D4" s="4">
        <f>K4</f>
      </c>
      <c r="E4" s="4">
        <f>M4</f>
      </c>
      <c r="F4" t="inlineStr">
        <is>
          <t xml:space="preserve"/>
        </is>
      </c>
      <c r="G4" s="4">
        <f>P4</f>
      </c>
      <c r="H4" s="4">
        <f>R4</f>
      </c>
      <c r="J4" t="inlineStr">
        <is>
          <t xml:space="preserve">PM_Seg_Tilt0</t>
        </is>
      </c>
      <c r="K4" s="6">
        <v>1.935802708131255</v>
      </c>
      <c r="L4" t="inlineStr">
        <is>
          <t xml:space="preserve">PM_Seg_Tiltf</t>
        </is>
      </c>
      <c r="M4" s="6">
        <v>1.0919509919132088e-11</v>
      </c>
      <c r="O4" t="inlineStr">
        <is>
          <t xml:space="preserve">PM_Seg_Tilt0</t>
        </is>
      </c>
      <c r="P4" s="6">
        <v>1.935802708131255</v>
      </c>
      <c r="Q4" t="inlineStr">
        <is>
          <t xml:space="preserve">PM_Seg_Tiltf</t>
        </is>
      </c>
      <c r="R4" s="6">
        <v>1.935802708131255</v>
      </c>
      <c r="T4" s="7">
        <v>5.2226550463666521e-09</v>
      </c>
    </row>
    <row r="5">
      <c r="B5" t="inlineStr">
        <is>
          <t xml:space="preserve">PM Seg Clocking</t>
        </is>
      </c>
      <c r="C5" t="inlineStr">
        <is>
          <t xml:space="preserve">nrad</t>
        </is>
      </c>
      <c r="D5" s="4">
        <f>K5</f>
      </c>
      <c r="E5" s="4">
        <f>M5</f>
      </c>
      <c r="F5" t="inlineStr">
        <is>
          <t xml:space="preserve"/>
        </is>
      </c>
      <c r="G5" s="4">
        <f>P5</f>
      </c>
      <c r="H5" s="4">
        <f>R5</f>
      </c>
      <c r="J5" t="inlineStr">
        <is>
          <t xml:space="preserve">PM_Seg_Clocking0</t>
        </is>
      </c>
      <c r="K5" s="6">
        <v>0.0007880651933993367</v>
      </c>
      <c r="L5" t="inlineStr">
        <is>
          <t xml:space="preserve">PM_Seg_Clockingf</t>
        </is>
      </c>
      <c r="M5" s="6">
        <v>4.4672703686151212e-15</v>
      </c>
      <c r="O5" t="inlineStr">
        <is>
          <t xml:space="preserve">PM_Seg_Clocking0</t>
        </is>
      </c>
      <c r="P5" s="6">
        <v>0.0007880651933993367</v>
      </c>
      <c r="Q5" t="inlineStr">
        <is>
          <t xml:space="preserve">PM_Seg_Clockingf</t>
        </is>
      </c>
      <c r="R5" s="6">
        <v>0.0007880651933993367</v>
      </c>
      <c r="T5" s="7">
        <v>3.832497671979241e-12</v>
      </c>
    </row>
    <row r="6">
      <c r="B6" t="inlineStr">
        <is>
          <t xml:space="preserve">PM Seg Decenter</t>
        </is>
      </c>
      <c r="C6" t="inlineStr">
        <is>
          <t xml:space="preserve">nm</t>
        </is>
      </c>
      <c r="D6" s="4">
        <f>K6</f>
      </c>
      <c r="E6" s="4">
        <f>M6</f>
      </c>
      <c r="F6" t="inlineStr">
        <is>
          <t xml:space="preserve"/>
        </is>
      </c>
      <c r="G6" s="4">
        <f>P6</f>
      </c>
      <c r="H6" s="4">
        <f>R6</f>
      </c>
      <c r="J6" t="inlineStr">
        <is>
          <t xml:space="preserve">PM_Seg_Decenter0</t>
        </is>
      </c>
      <c r="K6" s="6">
        <v>0.037472411277257756</v>
      </c>
      <c r="L6" t="inlineStr">
        <is>
          <t xml:space="preserve">PM_Seg_Decenterf</t>
        </is>
      </c>
      <c r="M6" s="6">
        <v>2.3336472085515621e-13</v>
      </c>
      <c r="O6" t="inlineStr">
        <is>
          <t xml:space="preserve">PM_Seg_Decenter0</t>
        </is>
      </c>
      <c r="P6" s="6">
        <v>0.037472411277257756</v>
      </c>
      <c r="Q6" t="inlineStr">
        <is>
          <t xml:space="preserve">PM_Seg_Decenterf</t>
        </is>
      </c>
      <c r="R6" s="6">
        <v>0.037472411277257756</v>
      </c>
      <c r="T6" s="7">
        <v>2.067190584146851e-10</v>
      </c>
    </row>
    <row r="7">
      <c r="B7" t="inlineStr">
        <is>
          <t xml:space="preserve">PM Seg Piston</t>
        </is>
      </c>
      <c r="C7" t="inlineStr">
        <is>
          <t xml:space="preserve">nm</t>
        </is>
      </c>
      <c r="D7" s="4">
        <f>K7</f>
      </c>
      <c r="E7" s="4">
        <f>M7</f>
      </c>
      <c r="F7" t="inlineStr">
        <is>
          <t xml:space="preserve"/>
        </is>
      </c>
      <c r="G7" s="4">
        <f>P7</f>
      </c>
      <c r="H7" s="4">
        <f>R7</f>
      </c>
      <c r="J7" t="inlineStr">
        <is>
          <t xml:space="preserve">PM_Seg_Piston0</t>
        </is>
      </c>
      <c r="K7" s="6">
        <v>1.8342457514246093</v>
      </c>
      <c r="L7" t="inlineStr">
        <is>
          <t xml:space="preserve">PM_Seg_Pistonf</t>
        </is>
      </c>
      <c r="M7" s="6">
        <v>1.8366762352569085e-11</v>
      </c>
      <c r="O7" t="inlineStr">
        <is>
          <t xml:space="preserve">PM_Seg_Piston0</t>
        </is>
      </c>
      <c r="P7" s="6">
        <v>1.8342457514246093</v>
      </c>
      <c r="Q7" t="inlineStr">
        <is>
          <t xml:space="preserve">PM_Seg_Pistonf</t>
        </is>
      </c>
      <c r="R7" s="6">
        <v>1.8342457514246093</v>
      </c>
      <c r="T7" s="7">
        <v>1.871326982280038e-08</v>
      </c>
    </row>
    <row r="8">
      <c r="B8" t="inlineStr">
        <is>
          <t xml:space="preserve">SM Tilt</t>
        </is>
      </c>
      <c r="C8" t="inlineStr">
        <is>
          <t xml:space="preserve">nrad</t>
        </is>
      </c>
      <c r="D8" s="4">
        <f>K8</f>
      </c>
      <c r="E8" s="4">
        <f>M8</f>
      </c>
      <c r="F8" t="inlineStr">
        <is>
          <t xml:space="preserve"/>
        </is>
      </c>
      <c r="G8" s="4">
        <f>P8</f>
      </c>
      <c r="H8" s="4">
        <f>R8</f>
      </c>
      <c r="J8" t="inlineStr">
        <is>
          <t xml:space="preserve">SM_Tilt0</t>
        </is>
      </c>
      <c r="K8" s="6">
        <v>0.76924610349410583</v>
      </c>
      <c r="L8" t="inlineStr">
        <is>
          <t xml:space="preserve">SM_Tiltf</t>
        </is>
      </c>
      <c r="M8" s="6">
        <v>1.5246456352089316e-11</v>
      </c>
      <c r="O8" t="inlineStr">
        <is>
          <t xml:space="preserve">SM_Tilt0</t>
        </is>
      </c>
      <c r="P8" s="6">
        <v>0.76924610349410583</v>
      </c>
      <c r="Q8" t="inlineStr">
        <is>
          <t xml:space="preserve">SM_Tiltf</t>
        </is>
      </c>
      <c r="R8" s="6">
        <v>0.76924610349410583</v>
      </c>
      <c r="T8" s="7">
        <v>4.0959770040906274e-09</v>
      </c>
    </row>
    <row r="9">
      <c r="B9" t="inlineStr">
        <is>
          <t xml:space="preserve">SM Clocking</t>
        </is>
      </c>
      <c r="C9" t="inlineStr">
        <is>
          <t xml:space="preserve">nrad</t>
        </is>
      </c>
      <c r="D9" s="4">
        <f>K9</f>
      </c>
      <c r="E9" s="4">
        <f>M9</f>
      </c>
      <c r="F9" t="inlineStr">
        <is>
          <t xml:space="preserve"/>
        </is>
      </c>
      <c r="G9" s="4">
        <f>P9</f>
      </c>
      <c r="H9" s="4">
        <f>R9</f>
      </c>
      <c r="J9" t="inlineStr">
        <is>
          <t xml:space="preserve">SM_Clocking0</t>
        </is>
      </c>
      <c r="K9" s="6">
        <v>0.00067921721795470688</v>
      </c>
      <c r="L9" t="inlineStr">
        <is>
          <t xml:space="preserve">SM_Clockingf</t>
        </is>
      </c>
      <c r="M9" s="6">
        <v>8.3523364084907129e-15</v>
      </c>
      <c r="O9" t="inlineStr">
        <is>
          <t xml:space="preserve">SM_Clocking0</t>
        </is>
      </c>
      <c r="P9" s="6">
        <v>0.00067921721795470688</v>
      </c>
      <c r="Q9" t="inlineStr">
        <is>
          <t xml:space="preserve">SM_Clockingf</t>
        </is>
      </c>
      <c r="R9" s="6">
        <v>0.00067921721795470688</v>
      </c>
      <c r="T9" s="7">
        <v>9.0411736591715549e-12</v>
      </c>
    </row>
    <row r="10">
      <c r="B10" t="inlineStr">
        <is>
          <t xml:space="preserve">SM Decenter</t>
        </is>
      </c>
      <c r="C10" t="inlineStr">
        <is>
          <t xml:space="preserve">nm</t>
        </is>
      </c>
      <c r="D10" s="4">
        <f>K10</f>
      </c>
      <c r="E10" s="4">
        <f>M10</f>
      </c>
      <c r="F10" t="inlineStr">
        <is>
          <t xml:space="preserve"/>
        </is>
      </c>
      <c r="G10" s="4">
        <f>P10</f>
      </c>
      <c r="H10" s="4">
        <f>R10</f>
      </c>
      <c r="J10" t="inlineStr">
        <is>
          <t xml:space="preserve">SM_Decenter0</t>
        </is>
      </c>
      <c r="K10" s="6">
        <v>0.086544632174446051</v>
      </c>
      <c r="L10" t="inlineStr">
        <is>
          <t xml:space="preserve">SM_Decenterf</t>
        </is>
      </c>
      <c r="M10" s="6">
        <v>1.0675624719411143e-12</v>
      </c>
      <c r="O10" t="inlineStr">
        <is>
          <t xml:space="preserve">SM_Decenter0</t>
        </is>
      </c>
      <c r="P10" s="6">
        <v>0.086544632174446051</v>
      </c>
      <c r="Q10" t="inlineStr">
        <is>
          <t xml:space="preserve">SM_Decenterf</t>
        </is>
      </c>
      <c r="R10" s="6">
        <v>0.086544632174446051</v>
      </c>
      <c r="T10" s="7">
        <v>9.468028453213109e-10</v>
      </c>
    </row>
    <row r="11">
      <c r="B11" t="inlineStr">
        <is>
          <t xml:space="preserve">SM Despace</t>
        </is>
      </c>
      <c r="C11" t="inlineStr">
        <is>
          <t xml:space="preserve">nm</t>
        </is>
      </c>
      <c r="D11" s="4">
        <f>K11</f>
      </c>
      <c r="E11" s="4">
        <f>M11</f>
      </c>
      <c r="F11" t="inlineStr">
        <is>
          <t xml:space="preserve"/>
        </is>
      </c>
      <c r="G11" s="4">
        <f>P11</f>
      </c>
      <c r="H11" s="4">
        <f>R11</f>
      </c>
      <c r="J11" t="inlineStr">
        <is>
          <t xml:space="preserve">SM_Despace0</t>
        </is>
      </c>
      <c r="K11" s="6">
        <v>0.01267296931008809</v>
      </c>
      <c r="L11" t="inlineStr">
        <is>
          <t xml:space="preserve">SM_Despacef</t>
        </is>
      </c>
      <c r="M11" s="6">
        <v>2.9101170349325104e-14</v>
      </c>
      <c r="O11" t="inlineStr">
        <is>
          <t xml:space="preserve">SM_Despace0</t>
        </is>
      </c>
      <c r="P11" s="6">
        <v>0.01267296931008809</v>
      </c>
      <c r="Q11" t="inlineStr">
        <is>
          <t xml:space="preserve">SM_Despacef</t>
        </is>
      </c>
      <c r="R11" s="6">
        <v>0.01267296931008809</v>
      </c>
      <c r="T11" s="7">
        <v>2.3238141771824973e-11</v>
      </c>
    </row>
    <row r="12">
      <c r="B12" t="inlineStr">
        <is>
          <t xml:space="preserve">Lens Tilt</t>
        </is>
      </c>
      <c r="C12" t="inlineStr">
        <is>
          <t xml:space="preserve">nrad</t>
        </is>
      </c>
      <c r="D12" s="4">
        <f>K12</f>
      </c>
      <c r="E12" s="4">
        <f>M12</f>
      </c>
      <c r="F12" t="inlineStr">
        <is>
          <t xml:space="preserve"/>
        </is>
      </c>
      <c r="G12" s="4">
        <f>P12</f>
      </c>
      <c r="H12" s="4">
        <f>R12</f>
      </c>
      <c r="J12" t="inlineStr">
        <is>
          <t xml:space="preserve">Lens_Tilt0</t>
        </is>
      </c>
      <c r="K12" s="6">
        <v>0.0010205002815537045</v>
      </c>
      <c r="L12" t="inlineStr">
        <is>
          <t xml:space="preserve">Lens_Tiltf</t>
        </is>
      </c>
      <c r="M12" s="6">
        <v>3.2252774820752196e-06</v>
      </c>
      <c r="O12" t="inlineStr">
        <is>
          <t xml:space="preserve">Lens_Tilt0</t>
        </is>
      </c>
      <c r="P12" s="6">
        <v>0.0010205002815537045</v>
      </c>
      <c r="Q12" t="inlineStr">
        <is>
          <t xml:space="preserve">Lens_Tiltf</t>
        </is>
      </c>
      <c r="R12" s="6">
        <v>0.0010205002815537045</v>
      </c>
      <c r="T12" s="7">
        <v>0.00015839731800924202</v>
      </c>
    </row>
    <row r="13">
      <c r="B13" t="inlineStr">
        <is>
          <t xml:space="preserve">Lens Clocking</t>
        </is>
      </c>
      <c r="C13" t="inlineStr">
        <is>
          <t xml:space="preserve">nrad</t>
        </is>
      </c>
      <c r="D13" s="4">
        <f>K13</f>
      </c>
      <c r="E13" s="4">
        <f>M13</f>
      </c>
      <c r="F13" t="inlineStr">
        <is>
          <t xml:space="preserve"/>
        </is>
      </c>
      <c r="G13" s="4">
        <f>P13</f>
      </c>
      <c r="H13" s="4">
        <f>R13</f>
      </c>
      <c r="J13" t="inlineStr">
        <is>
          <t xml:space="preserve">Lens_Clocking0</t>
        </is>
      </c>
      <c r="K13" s="6">
        <v>2.7428615056103879e-05</v>
      </c>
      <c r="L13" t="inlineStr">
        <is>
          <t xml:space="preserve">Lens_Clockingf</t>
        </is>
      </c>
      <c r="M13" s="6">
        <v>6.1739436186202923e-07</v>
      </c>
      <c r="O13" t="inlineStr">
        <is>
          <t xml:space="preserve">Lens_Clocking0</t>
        </is>
      </c>
      <c r="P13" s="6">
        <v>2.7428615056103879e-05</v>
      </c>
      <c r="Q13" t="inlineStr">
        <is>
          <t xml:space="preserve">Lens_Clockingf</t>
        </is>
      </c>
      <c r="R13" s="6">
        <v>2.7428615056103879e-05</v>
      </c>
      <c r="T13" s="7">
        <v>6.2857534722490893e-05</v>
      </c>
    </row>
    <row r="14">
      <c r="B14" t="inlineStr">
        <is>
          <t xml:space="preserve">Lens Decenter</t>
        </is>
      </c>
      <c r="C14" t="inlineStr">
        <is>
          <t xml:space="preserve">nm</t>
        </is>
      </c>
      <c r="D14" s="4">
        <f>K14</f>
      </c>
      <c r="E14" s="4">
        <f>M14</f>
      </c>
      <c r="F14" t="inlineStr">
        <is>
          <t xml:space="preserve"/>
        </is>
      </c>
      <c r="G14" s="4">
        <f>P14</f>
      </c>
      <c r="H14" s="4">
        <f>R14</f>
      </c>
      <c r="J14" t="inlineStr">
        <is>
          <t xml:space="preserve">Lens_Decenter0</t>
        </is>
      </c>
      <c r="K14" s="6">
        <v>0.00065468557923198942</v>
      </c>
      <c r="L14" t="inlineStr">
        <is>
          <t xml:space="preserve">Lens_Decenterf</t>
        </is>
      </c>
      <c r="M14" s="6">
        <v>1.6307369021512955e-06</v>
      </c>
      <c r="O14" t="inlineStr">
        <is>
          <t xml:space="preserve">Lens_Decenter0</t>
        </is>
      </c>
      <c r="P14" s="6">
        <v>0.00065468557923198942</v>
      </c>
      <c r="Q14" t="inlineStr">
        <is>
          <t xml:space="preserve">Lens_Decenterf</t>
        </is>
      </c>
      <c r="R14" s="6">
        <v>0.00065468557923198942</v>
      </c>
      <c r="T14" s="7">
        <v>0.00016426611089617372</v>
      </c>
    </row>
    <row r="15">
      <c r="B15" t="inlineStr">
        <is>
          <t xml:space="preserve">Lens Despace</t>
        </is>
      </c>
      <c r="C15" t="inlineStr">
        <is>
          <t xml:space="preserve">nm</t>
        </is>
      </c>
      <c r="D15" s="4">
        <f>K15</f>
      </c>
      <c r="E15" s="4">
        <f>M15</f>
      </c>
      <c r="F15" t="inlineStr">
        <is>
          <t xml:space="preserve"/>
        </is>
      </c>
      <c r="G15" s="4">
        <f>P15</f>
      </c>
      <c r="H15" s="4">
        <f>R15</f>
      </c>
      <c r="J15" t="inlineStr">
        <is>
          <t xml:space="preserve">Lens_Despace0</t>
        </is>
      </c>
      <c r="K15" s="6">
        <v>0.00019020114919828527</v>
      </c>
      <c r="L15" t="inlineStr">
        <is>
          <t xml:space="preserve">Lens_Despacef</t>
        </is>
      </c>
      <c r="M15" s="6">
        <v>1.1622426894380898e-05</v>
      </c>
      <c r="O15" t="inlineStr">
        <is>
          <t xml:space="preserve">Lens_Despace0</t>
        </is>
      </c>
      <c r="P15" s="6">
        <v>0.00019020114919828527</v>
      </c>
      <c r="Q15" t="inlineStr">
        <is>
          <t xml:space="preserve">Lens_Despacef</t>
        </is>
      </c>
      <c r="R15" s="6">
        <v>0.00019020114919828527</v>
      </c>
      <c r="T15" s="7">
        <v>0.0013585586241431742</v>
      </c>
    </row>
    <row r="16">
      <c r="B16" t="inlineStr">
        <is>
          <t xml:space="preserve">FPA Tilt</t>
        </is>
      </c>
      <c r="C16" t="inlineStr">
        <is>
          <t xml:space="preserve">nrad</t>
        </is>
      </c>
      <c r="D16" s="4">
        <f>K16</f>
      </c>
      <c r="E16" s="4">
        <f>M16</f>
      </c>
      <c r="F16" t="inlineStr">
        <is>
          <t xml:space="preserve"/>
        </is>
      </c>
      <c r="G16" s="4">
        <f>P16</f>
      </c>
      <c r="H16" s="4">
        <f>R16</f>
      </c>
      <c r="J16" t="inlineStr">
        <is>
          <t xml:space="preserve">FPA_Tilt0</t>
        </is>
      </c>
      <c r="K16" s="6">
        <v>7.0213599627302174e-06</v>
      </c>
      <c r="L16" t="inlineStr">
        <is>
          <t xml:space="preserve">FPA_Tiltf</t>
        </is>
      </c>
      <c r="M16" s="6">
        <v>3.4496612040187322e-06</v>
      </c>
      <c r="O16" t="inlineStr">
        <is>
          <t xml:space="preserve">FPA_Tilt0</t>
        </is>
      </c>
      <c r="P16" s="6">
        <v>7.0213599627302174e-06</v>
      </c>
      <c r="Q16" t="inlineStr">
        <is>
          <t xml:space="preserve">FPA_Tiltf</t>
        </is>
      </c>
      <c r="R16" s="6">
        <v>7.0213599627302174e-06</v>
      </c>
      <c r="T16" s="7">
        <v>0.00017159651961986438</v>
      </c>
    </row>
    <row r="17">
      <c r="B17" t="inlineStr">
        <is>
          <t xml:space="preserve">FPA Clocking</t>
        </is>
      </c>
      <c r="C17" t="inlineStr">
        <is>
          <t xml:space="preserve">nrad</t>
        </is>
      </c>
      <c r="D17" s="4">
        <f>K17</f>
      </c>
      <c r="E17" s="4">
        <f>M17</f>
      </c>
      <c r="F17" t="inlineStr">
        <is>
          <t xml:space="preserve"/>
        </is>
      </c>
      <c r="G17" s="4">
        <f>P17</f>
      </c>
      <c r="H17" s="4">
        <f>R17</f>
      </c>
      <c r="J17" t="inlineStr">
        <is>
          <t xml:space="preserve">FPA_Clocking0</t>
        </is>
      </c>
      <c r="K17" s="6">
        <v>0.00023710882035393868</v>
      </c>
      <c r="L17" t="inlineStr">
        <is>
          <t xml:space="preserve">FPA_Clockingf</t>
        </is>
      </c>
      <c r="M17" s="6">
        <v>0.00011515824695975794</v>
      </c>
      <c r="O17" t="inlineStr">
        <is>
          <t xml:space="preserve">FPA_Clocking0</t>
        </is>
      </c>
      <c r="P17" s="6">
        <v>0.00023710882035393868</v>
      </c>
      <c r="Q17" t="inlineStr">
        <is>
          <t xml:space="preserve">FPA_Clockingf</t>
        </is>
      </c>
      <c r="R17" s="6">
        <v>0.00023710882035393868</v>
      </c>
      <c r="T17" s="7">
        <v>0.012127486991697701</v>
      </c>
    </row>
    <row r="18">
      <c r="B18" t="inlineStr">
        <is>
          <t xml:space="preserve">FPA Decenter</t>
        </is>
      </c>
      <c r="C18" t="inlineStr">
        <is>
          <t xml:space="preserve">nm</t>
        </is>
      </c>
      <c r="D18" s="4">
        <f>K18</f>
      </c>
      <c r="E18" s="4">
        <f>M18</f>
      </c>
      <c r="F18" t="inlineStr">
        <is>
          <t xml:space="preserve"/>
        </is>
      </c>
      <c r="G18" s="4">
        <f>P18</f>
      </c>
      <c r="H18" s="4">
        <f>R18</f>
      </c>
      <c r="J18" t="inlineStr">
        <is>
          <t xml:space="preserve">FPA_Decenter0</t>
        </is>
      </c>
      <c r="K18" s="6">
        <v>0.01484365532060394</v>
      </c>
      <c r="L18" t="inlineStr">
        <is>
          <t xml:space="preserve">FPA_Decenterf</t>
        </is>
      </c>
      <c r="M18" s="6">
        <v>1.6346087581693066e-06</v>
      </c>
      <c r="O18" t="inlineStr">
        <is>
          <t xml:space="preserve">FPA_Decenter0</t>
        </is>
      </c>
      <c r="P18" s="6">
        <v>0.01484365532060394</v>
      </c>
      <c r="Q18" t="inlineStr">
        <is>
          <t xml:space="preserve">FPA_Decenterf</t>
        </is>
      </c>
      <c r="R18" s="6">
        <v>0.01484365532060394</v>
      </c>
      <c r="T18" s="7">
        <v>0.00016218895186281029</v>
      </c>
    </row>
    <row r="19">
      <c r="B19" t="inlineStr">
        <is>
          <t xml:space="preserve">FPA Despace</t>
        </is>
      </c>
      <c r="C19" t="inlineStr">
        <is>
          <t xml:space="preserve">nm</t>
        </is>
      </c>
      <c r="D19" s="4">
        <f>K19</f>
      </c>
      <c r="E19" s="4">
        <f>M19</f>
      </c>
      <c r="F19" t="inlineStr">
        <is>
          <t xml:space="preserve"/>
        </is>
      </c>
      <c r="G19" s="4">
        <f>P19</f>
      </c>
      <c r="H19" s="4">
        <f>R19</f>
      </c>
      <c r="J19" t="inlineStr">
        <is>
          <t xml:space="preserve">FPA_Despace0</t>
        </is>
      </c>
      <c r="K19" s="6">
        <v>6.6446459851609964e-05</v>
      </c>
      <c r="L19" t="inlineStr">
        <is>
          <t xml:space="preserve">FPA_Despacef</t>
        </is>
      </c>
      <c r="M19" s="6">
        <v>3.0828826381421261e-07</v>
      </c>
      <c r="O19" t="inlineStr">
        <is>
          <t xml:space="preserve">FPA_Despace0</t>
        </is>
      </c>
      <c r="P19" s="6">
        <v>6.6446459851609964e-05</v>
      </c>
      <c r="Q19" t="inlineStr">
        <is>
          <t xml:space="preserve">FPA_Despacef</t>
        </is>
      </c>
      <c r="R19" s="6">
        <v>6.6446459851609964e-05</v>
      </c>
      <c r="T19" s="7">
        <v>3.5569996683236524e-05</v>
      </c>
    </row>
    <row r="20">
      <c r="B20" t="inlineStr">
        <is>
          <t xml:space="preserve">WFS Sensing Error</t>
        </is>
      </c>
      <c r="C20" t="inlineStr">
        <is>
          <t xml:space="preserve">nm</t>
        </is>
      </c>
      <c r="D20" s="4">
        <f>K20</f>
      </c>
      <c r="E20" s="4">
        <f>M20</f>
      </c>
      <c r="F20" t="inlineStr">
        <is>
          <t xml:space="preserve"/>
        </is>
      </c>
      <c r="G20" s="4">
        <f>P20</f>
      </c>
      <c r="H20" s="4">
        <f>R20</f>
      </c>
      <c r="J20" t="inlineStr">
        <is>
          <t xml:space="preserve">WFS_Sensing_Error0</t>
        </is>
      </c>
      <c r="K20" s="6">
        <v>0</v>
      </c>
      <c r="L20" t="inlineStr">
        <is>
          <t xml:space="preserve">WFS_Sensing_Errorf</t>
        </is>
      </c>
      <c r="M20" s="6">
        <v>0.030611122449631288</v>
      </c>
      <c r="O20" t="inlineStr">
        <is>
          <t xml:space="preserve">WFS_Sensing_Error0</t>
        </is>
      </c>
      <c r="P20" s="6">
        <v>0</v>
      </c>
      <c r="Q20" t="inlineStr">
        <is>
          <t xml:space="preserve">WFS_Sensing_Errorf</t>
        </is>
      </c>
      <c r="R20" s="6">
        <v>0</v>
      </c>
      <c r="T20" s="7">
        <v>0.091820118845591159</v>
      </c>
    </row>
    <row r="21">
      <c r="B21" t="inlineStr">
        <is>
          <t xml:space="preserve">PM Seg Tilt Actuator</t>
        </is>
      </c>
      <c r="C21" t="inlineStr">
        <is>
          <t xml:space="preserve">nrad</t>
        </is>
      </c>
      <c r="D21" s="4">
        <f>K21</f>
      </c>
      <c r="E21" s="4">
        <f>M21</f>
      </c>
      <c r="F21" t="inlineStr">
        <is>
          <t xml:space="preserve"/>
        </is>
      </c>
      <c r="G21" s="4">
        <f>P21</f>
      </c>
      <c r="H21" s="4">
        <f>R21</f>
      </c>
      <c r="J21" t="inlineStr">
        <is>
          <t xml:space="preserve">PM_Seg_Tilt_Actuator0</t>
        </is>
      </c>
      <c r="K21" s="6">
        <v>0</v>
      </c>
      <c r="L21" t="inlineStr">
        <is>
          <t xml:space="preserve">PM_Seg_Tilt_Actuatorf</t>
        </is>
      </c>
      <c r="M21" s="6">
        <v>1.935802708131255</v>
      </c>
      <c r="O21" t="inlineStr">
        <is>
          <t xml:space="preserve">PM_Seg_Tilt_Actuator0</t>
        </is>
      </c>
      <c r="P21" s="6">
        <v>0</v>
      </c>
      <c r="Q21" t="inlineStr">
        <is>
          <t xml:space="preserve">PM_Seg_Tilt_Actuatorf</t>
        </is>
      </c>
      <c r="R21" s="6">
        <v>0</v>
      </c>
      <c r="T21" s="7">
        <v>1.2909619245725807</v>
      </c>
    </row>
    <row r="22">
      <c r="B22" t="inlineStr">
        <is>
          <t xml:space="preserve">PM Seg Clocking Actuator</t>
        </is>
      </c>
      <c r="C22" t="inlineStr">
        <is>
          <t xml:space="preserve">nrad</t>
        </is>
      </c>
      <c r="D22" s="4">
        <f>K22</f>
      </c>
      <c r="E22" s="4">
        <f>M22</f>
      </c>
      <c r="F22" t="inlineStr">
        <is>
          <t xml:space="preserve"/>
        </is>
      </c>
      <c r="G22" s="4">
        <f>P22</f>
      </c>
      <c r="H22" s="4">
        <f>R22</f>
      </c>
      <c r="J22" t="inlineStr">
        <is>
          <t xml:space="preserve">PM_Seg_Clocking_Actuator0</t>
        </is>
      </c>
      <c r="K22" s="6">
        <v>0</v>
      </c>
      <c r="L22" t="inlineStr">
        <is>
          <t xml:space="preserve">PM_Seg_Clocking_Actuatorf</t>
        </is>
      </c>
      <c r="M22" s="6">
        <v>0.0007880651933993367</v>
      </c>
      <c r="O22" t="inlineStr">
        <is>
          <t xml:space="preserve">PM_Seg_Clocking_Actuator0</t>
        </is>
      </c>
      <c r="P22" s="6">
        <v>0</v>
      </c>
      <c r="Q22" t="inlineStr">
        <is>
          <t xml:space="preserve">PM_Seg_Clocking_Actuatorf</t>
        </is>
      </c>
      <c r="R22" s="6">
        <v>0</v>
      </c>
      <c r="T22" s="7">
        <v>0.0005210903752752437</v>
      </c>
    </row>
    <row r="23">
      <c r="B23" t="inlineStr">
        <is>
          <t xml:space="preserve">PM Seg Decenter Actuator</t>
        </is>
      </c>
      <c r="C23" t="inlineStr">
        <is>
          <t xml:space="preserve">nm</t>
        </is>
      </c>
      <c r="D23" s="4">
        <f>K23</f>
      </c>
      <c r="E23" s="4">
        <f>M23</f>
      </c>
      <c r="F23" t="inlineStr">
        <is>
          <t xml:space="preserve"/>
        </is>
      </c>
      <c r="G23" s="4">
        <f>P23</f>
      </c>
      <c r="H23" s="4">
        <f>R23</f>
      </c>
      <c r="J23" t="inlineStr">
        <is>
          <t xml:space="preserve">PM_Seg_Decenter_Actuator0</t>
        </is>
      </c>
      <c r="K23" s="6">
        <v>0</v>
      </c>
      <c r="L23" t="inlineStr">
        <is>
          <t xml:space="preserve">PM_Seg_Decenter_Actuatorf</t>
        </is>
      </c>
      <c r="M23" s="6">
        <v>0.037472411277257756</v>
      </c>
      <c r="O23" t="inlineStr">
        <is>
          <t xml:space="preserve">PM_Seg_Decenter_Actuator0</t>
        </is>
      </c>
      <c r="P23" s="6">
        <v>0</v>
      </c>
      <c r="Q23" t="inlineStr">
        <is>
          <t xml:space="preserve">PM_Seg_Decenter_Actuatorf</t>
        </is>
      </c>
      <c r="R23" s="6">
        <v>0</v>
      </c>
      <c r="T23" s="7">
        <v>0.037506322448896824</v>
      </c>
    </row>
    <row r="24">
      <c r="B24" t="inlineStr">
        <is>
          <t xml:space="preserve">PM Seg Piston Actuator</t>
        </is>
      </c>
      <c r="C24" t="inlineStr">
        <is>
          <t xml:space="preserve">nm</t>
        </is>
      </c>
      <c r="D24" s="4">
        <f>K24</f>
      </c>
      <c r="E24" s="4">
        <f>M24</f>
      </c>
      <c r="F24" t="inlineStr">
        <is>
          <t xml:space="preserve"/>
        </is>
      </c>
      <c r="G24" s="4">
        <f>P24</f>
      </c>
      <c r="H24" s="4">
        <f>R24</f>
      </c>
      <c r="J24" t="inlineStr">
        <is>
          <t xml:space="preserve">PM_Seg_Piston_Actuator0</t>
        </is>
      </c>
      <c r="K24" s="6">
        <v>0</v>
      </c>
      <c r="L24" t="inlineStr">
        <is>
          <t xml:space="preserve">PM_Seg_Piston_Actuatorf</t>
        </is>
      </c>
      <c r="M24" s="6">
        <v>1.8342457514246093</v>
      </c>
      <c r="O24" t="inlineStr">
        <is>
          <t xml:space="preserve">PM_Seg_Piston_Actuator0</t>
        </is>
      </c>
      <c r="P24" s="6">
        <v>0</v>
      </c>
      <c r="Q24" t="inlineStr">
        <is>
          <t xml:space="preserve">PM_Seg_Piston_Actuatorf</t>
        </is>
      </c>
      <c r="R24" s="6">
        <v>0</v>
      </c>
      <c r="T24" s="7">
        <v>1.8416254334638196</v>
      </c>
    </row>
    <row r="25">
      <c r="B25" t="inlineStr">
        <is>
          <t xml:space="preserve">SM Tilt Actuator</t>
        </is>
      </c>
      <c r="C25" t="inlineStr">
        <is>
          <t xml:space="preserve">nrad</t>
        </is>
      </c>
      <c r="D25" s="4">
        <f>K25</f>
      </c>
      <c r="E25" s="4">
        <f>M25</f>
      </c>
      <c r="F25" t="inlineStr">
        <is>
          <t xml:space="preserve"/>
        </is>
      </c>
      <c r="G25" s="4">
        <f>P25</f>
      </c>
      <c r="H25" s="4">
        <f>R25</f>
      </c>
      <c r="J25" t="inlineStr">
        <is>
          <t xml:space="preserve">SM_Tilt_Actuator0</t>
        </is>
      </c>
      <c r="K25" s="6">
        <v>0</v>
      </c>
      <c r="L25" t="inlineStr">
        <is>
          <t xml:space="preserve">SM_Tilt_Actuatorf</t>
        </is>
      </c>
      <c r="M25" s="6">
        <v>0.76924610349410583</v>
      </c>
      <c r="O25" t="inlineStr">
        <is>
          <t xml:space="preserve">SM_Tilt_Actuator0</t>
        </is>
      </c>
      <c r="P25" s="6">
        <v>0</v>
      </c>
      <c r="Q25" t="inlineStr">
        <is>
          <t xml:space="preserve">SM_Tilt_Actuatorf</t>
        </is>
      </c>
      <c r="R25" s="6">
        <v>0</v>
      </c>
      <c r="T25" s="7">
        <v>1.2136165638327336</v>
      </c>
    </row>
    <row r="26">
      <c r="B26" t="inlineStr">
        <is>
          <t xml:space="preserve">SM Clocking Actuator</t>
        </is>
      </c>
      <c r="C26" t="inlineStr">
        <is>
          <t xml:space="preserve">nrad</t>
        </is>
      </c>
      <c r="D26" s="4">
        <f>K26</f>
      </c>
      <c r="E26" s="4">
        <f>M26</f>
      </c>
      <c r="F26" t="inlineStr">
        <is>
          <t xml:space="preserve"/>
        </is>
      </c>
      <c r="G26" s="4">
        <f>P26</f>
      </c>
      <c r="H26" s="4">
        <f>R26</f>
      </c>
      <c r="J26" t="inlineStr">
        <is>
          <t xml:space="preserve">SM_Clocking_Actuator0</t>
        </is>
      </c>
      <c r="K26" s="6">
        <v>0</v>
      </c>
      <c r="L26" t="inlineStr">
        <is>
          <t xml:space="preserve">SM_Clocking_Actuatorf</t>
        </is>
      </c>
      <c r="M26" s="6">
        <v>0.00067921721795470688</v>
      </c>
      <c r="O26" t="inlineStr">
        <is>
          <t xml:space="preserve">SM_Clocking_Actuator0</t>
        </is>
      </c>
      <c r="P26" s="6">
        <v>0</v>
      </c>
      <c r="Q26" t="inlineStr">
        <is>
          <t xml:space="preserve">SM_Clocking_Actuatorf</t>
        </is>
      </c>
      <c r="R26" s="6">
        <v>0</v>
      </c>
      <c r="T26" s="7">
        <v>0.001104635603727493</v>
      </c>
    </row>
    <row r="27">
      <c r="B27" t="inlineStr">
        <is>
          <t xml:space="preserve">SM Decenter Actuator</t>
        </is>
      </c>
      <c r="C27" t="inlineStr">
        <is>
          <t xml:space="preserve">nm</t>
        </is>
      </c>
      <c r="D27" s="4">
        <f>K27</f>
      </c>
      <c r="E27" s="4">
        <f>M27</f>
      </c>
      <c r="F27" t="inlineStr">
        <is>
          <t xml:space="preserve"/>
        </is>
      </c>
      <c r="G27" s="4">
        <f>P27</f>
      </c>
      <c r="H27" s="4">
        <f>R27</f>
      </c>
      <c r="J27" t="inlineStr">
        <is>
          <t xml:space="preserve">SM_Decenter_Actuator0</t>
        </is>
      </c>
      <c r="K27" s="6">
        <v>0</v>
      </c>
      <c r="L27" t="inlineStr">
        <is>
          <t xml:space="preserve">SM_Decenter_Actuatorf</t>
        </is>
      </c>
      <c r="M27" s="6">
        <v>0.086544632174446051</v>
      </c>
      <c r="O27" t="inlineStr">
        <is>
          <t xml:space="preserve">SM_Decenter_Actuator0</t>
        </is>
      </c>
      <c r="P27" s="6">
        <v>0</v>
      </c>
      <c r="Q27" t="inlineStr">
        <is>
          <t xml:space="preserve">SM_Decenter_Actuatorf</t>
        </is>
      </c>
      <c r="R27" s="6">
        <v>0</v>
      </c>
      <c r="T27" s="7">
        <v>0.086369333890109812</v>
      </c>
    </row>
    <row r="28">
      <c r="B28" t="inlineStr">
        <is>
          <t xml:space="preserve">SM Despace Actuator</t>
        </is>
      </c>
      <c r="C28" t="inlineStr">
        <is>
          <t xml:space="preserve">nm</t>
        </is>
      </c>
      <c r="D28" s="4">
        <f>K28</f>
      </c>
      <c r="E28" s="4">
        <f>M28</f>
      </c>
      <c r="F28" t="inlineStr">
        <is>
          <t xml:space="preserve"/>
        </is>
      </c>
      <c r="G28" s="4">
        <f>P28</f>
      </c>
      <c r="H28" s="4">
        <f>R28</f>
      </c>
      <c r="J28" t="inlineStr">
        <is>
          <t xml:space="preserve">SM_Despace_Actuator0</t>
        </is>
      </c>
      <c r="K28" s="6">
        <v>0</v>
      </c>
      <c r="L28" t="inlineStr">
        <is>
          <t xml:space="preserve">SM_Despace_Actuatorf</t>
        </is>
      </c>
      <c r="M28" s="6">
        <v>0.01267296931008809</v>
      </c>
      <c r="O28" t="inlineStr">
        <is>
          <t xml:space="preserve">SM_Despace_Actuator0</t>
        </is>
      </c>
      <c r="P28" s="6">
        <v>0</v>
      </c>
      <c r="Q28" t="inlineStr">
        <is>
          <t xml:space="preserve">SM_Despace_Actuatorf</t>
        </is>
      </c>
      <c r="R28" s="6">
        <v>0</v>
      </c>
      <c r="T28" s="7">
        <v>0.012698100446751246</v>
      </c>
    </row>
  </sheetData>
</worksheet>
</file>

<file path=xl/worksheets/sheet3.xml><?xml version="1.0" encoding="utf-8"?>
<worksheet xmlns="http://schemas.openxmlformats.org/spreadsheetml/2006/main">
  <cols>
    <col min="1" max="1" width="34" customWidth="1"/>
    <col min="2" max="2" width="14" customWidth="1"/>
    <col min="3" max="3" width="14" customWidth="1"/>
    <col min="4" max="4" width="14" customWidth="1"/>
  </cols>
  <sheetData>
    <row r="1">
      <c r="A1" s="1" t="inlineStr">
        <is>
          <t xml:space="preserve">e5hex1 WFE budget -- WFE block diagram</t>
        </is>
      </c>
    </row>
    <row r="3">
      <c r="A3" s="1" t="inlineStr">
        <is>
          <t xml:space="preserve">Total (Payload) WFE, nm</t>
        </is>
      </c>
      <c r="B3" s="3">
        <f>WFE!K38</f>
      </c>
    </row>
    <row r="4">
      <c r="A4" t="inlineStr">
        <is>
          <t xml:space="preserve">  Static (post-WFC), nm</t>
        </is>
      </c>
      <c r="B4" s="2">
        <f>SQRT(SUMSQ(WFE!F4:F28))</f>
      </c>
    </row>
    <row r="5">
      <c r="A5" t="inlineStr">
        <is>
          <t xml:space="preserve">  Drift (post-metrology), nm</t>
        </is>
      </c>
      <c r="B5" s="2">
        <f>SQRT(SUMSQ(WFE!J4:J28))</f>
      </c>
    </row>
    <row r="6">
      <c r="A6" t="inlineStr">
        <is>
          <t xml:space="preserve">  Design, nm</t>
        </is>
      </c>
      <c r="B6" s="2">
        <f>WFE!K37</f>
      </c>
    </row>
    <row r="7">
      <c r="A7" t="inlineStr">
        <is>
          <t xml:space="preserve">  Reserve vs requirement, nm</t>
        </is>
      </c>
      <c r="B7" s="2">
        <f>IF(WFE!K39&gt;WFE!K38,SQRT(WFE!K39^2-WFE!K38^2),0)</f>
      </c>
    </row>
    <row r="9">
      <c r="A9" t="inlineStr">
        <is>
          <t xml:space="preserve">Wavelength, nm</t>
        </is>
      </c>
      <c r="B9">
        <v>500</v>
      </c>
    </row>
    <row r="10">
      <c r="A10" t="inlineStr">
        <is>
          <t xml:space="preserve">Total, waves</t>
        </is>
      </c>
      <c r="B10" s="2">
        <f>B3/B9</f>
      </c>
    </row>
    <row r="12">
      <c r="A12" s="1" t="inlineStr">
        <is>
          <t xml:space="preserve">Section</t>
        </is>
      </c>
      <c r="B12" s="1" t="inlineStr">
        <is>
          <t xml:space="preserve">Static, nm</t>
        </is>
      </c>
      <c r="C12" s="1" t="inlineStr">
        <is>
          <t xml:space="preserve">Drift, nm</t>
        </is>
      </c>
      <c r="D12" s="1" t="inlineStr">
        <is>
          <t xml:space="preserve">Total, nm</t>
        </is>
      </c>
    </row>
    <row r="13">
      <c r="A13" t="inlineStr">
        <is>
          <t xml:space="preserve">Primary Mirror</t>
        </is>
      </c>
      <c r="B13" s="2">
        <f>SQRT(SUMSQ(WFE!F4:F7))</f>
      </c>
      <c r="C13" s="2">
        <f>SQRT(SUMSQ(WFE!J4:J7))</f>
      </c>
      <c r="D13" s="2">
        <f>SQRT(SUMSQ(WFE!K4:K7))</f>
      </c>
    </row>
    <row r="14">
      <c r="A14" t="inlineStr">
        <is>
          <t xml:space="preserve">Secondary Mirror</t>
        </is>
      </c>
      <c r="B14" s="2">
        <f>SQRT(SUMSQ(WFE!F8:F11))</f>
      </c>
      <c r="C14" s="2">
        <f>SQRT(SUMSQ(WFE!J8:J11))</f>
      </c>
      <c r="D14" s="2">
        <f>SQRT(SUMSQ(WFE!K8:K11))</f>
      </c>
    </row>
    <row r="15">
      <c r="A15" t="inlineStr">
        <is>
          <t xml:space="preserve">Lens</t>
        </is>
      </c>
      <c r="B15" s="2">
        <f>SQRT(SUMSQ(WFE!F12:F15))</f>
      </c>
      <c r="C15" s="2">
        <f>SQRT(SUMSQ(WFE!J12:J15))</f>
      </c>
      <c r="D15" s="2">
        <f>SQRT(SUMSQ(WFE!K12:K15))</f>
      </c>
    </row>
    <row r="16">
      <c r="A16" t="inlineStr">
        <is>
          <t xml:space="preserve">Detector</t>
        </is>
      </c>
      <c r="B16" s="2">
        <f>SQRT(SUMSQ(WFE!F16:F19))</f>
      </c>
      <c r="C16" s="2">
        <f>SQRT(SUMSQ(WFE!J16:J19))</f>
      </c>
      <c r="D16" s="2">
        <f>SQRT(SUMSQ(WFE!K16:K19))</f>
      </c>
    </row>
    <row r="17">
      <c r="A17" t="inlineStr">
        <is>
          <t xml:space="preserve">WFC</t>
        </is>
      </c>
      <c r="B17" s="2">
        <f>SQRT(SUMSQ(WFE!F20:F28))</f>
      </c>
      <c r="C17" s="2">
        <f>SQRT(SUMSQ(WFE!J20:J28))</f>
      </c>
      <c r="D17" s="2">
        <f>SQRT(SUMSQ(WFE!K20:K28))</f>
      </c>
    </row>
  </sheetData>
</worksheet>
</file>

<file path=xl/worksheets/sheet4.xml><?xml version="1.0" encoding="utf-8"?>
<worksheet xmlns="http://schemas.openxmlformats.org/spreadsheetml/2006/main">
  <sheetData>
    <row r="1">
      <c r="A1" s="1" t="inlineStr">
        <is>
          <t xml:space="preserve">PSD figure terms (engineer-owned).  Link a WFE row to H2 (pre) / H3 (post), as the HabEx sheet does.</t>
        </is>
      </c>
    </row>
    <row r="2">
      <c r="G2" t="inlineStr">
        <is>
          <t xml:space="preserve">pre coefficient</t>
        </is>
      </c>
      <c r="H2">
        <v>0</v>
      </c>
    </row>
    <row r="3">
      <c r="G3" t="inlineStr">
        <is>
          <t xml:space="preserve">post coefficient</t>
        </is>
      </c>
      <c r="H3">
        <v>0</v>
      </c>
    </row>
  </sheetData>
</worksheet>
</file>

<file path=xl/worksheets/sheet5.xml><?xml version="1.0" encoding="utf-8"?>
<worksheet xmlns="http://schemas.openxmlformats.org/spreadsheetml/2006/main">
  <cols>
    <col min="1" max="1" width="24" customWidth="1"/>
    <col min="2" max="2" width="12" customWidth="1"/>
  </cols>
  <sheetData>
    <row r="1">
      <c r="A1" s="1" t="inlineStr">
        <is>
          <t xml:space="preserve">Strain / thermal terms (engineer-owned).  Link WFE rows to the coefficient cells below.</t>
        </is>
      </c>
    </row>
    <row r="7">
      <c r="A7" t="inlineStr">
        <is>
          <t xml:space="preserve">lateral gradient pre</t>
        </is>
      </c>
      <c r="B7">
        <v>0</v>
      </c>
    </row>
    <row r="8">
      <c r="A8" t="inlineStr">
        <is>
          <t xml:space="preserve">lateral gradient post</t>
        </is>
      </c>
      <c r="B8">
        <v>0</v>
      </c>
    </row>
    <row r="26">
      <c r="A26" t="inlineStr">
        <is>
          <t xml:space="preserve">thru-thickness pre</t>
        </is>
      </c>
      <c r="B26">
        <v>0</v>
      </c>
    </row>
    <row r="27">
      <c r="A27" t="inlineStr">
        <is>
          <t xml:space="preserve">thru-thickness post</t>
        </is>
      </c>
      <c r="B27">
        <v>0</v>
      </c>
    </row>
  </sheetData>
</worksheet>
</file>

<file path=xl/worksheets/sheet6.xml><?xml version="1.0" encoding="utf-8"?>
<worksheet xmlns="http://schemas.openxmlformats.org/spreadsheetml/2006/main">
  <cols>
    <col min="1" max="1" width="100" customWidth="1"/>
  </cols>
  <sheetData>
    <row r="1">
      <c r="A1" t="inlineStr">
        <is>
          <t xml:space="preserve">generated 2026-10-27 12:01:22 by macos.budget.write_workbook</t>
        </is>
      </c>
    </row>
    <row r="2">
      <c r="A2" t="inlineStr">
        <is>
          <t xml:space="preserve">lines 25, sections 5, focus section "Primary Mirror"</t>
        </is>
      </c>
    </row>
    <row r="3">
      <c r="A3" t="inlineStr">
        <is>
          <t xml:space="preserve">Total WFE (tool) 2.566807103 nm; post-WFC 2.566807103; post-metrology 0</t>
        </is>
      </c>
    </row>
    <row r="4">
      <c r="A4" t="inlineStr">
        <is>
          <t xml:space="preserve">controlled 1, metrology stage 0, metric opd, cbm 0.001</t>
        </is>
      </c>
    </row>
    <row r="5">
      <c r="A5" t="inlineStr">
        <is>
          <t xml:space="preserve">method: Redding 2014 (SPIE), linearized ray-trace covariance budget</t>
        </is>
      </c>
    </row>
    <row r="6">
      <c r="A6" t="inlineStr">
        <is>
          <t xml:space="preserve">white cells = inputs you edit; gray cells = formulas (computed) -- inputs: WFE columns C and G, Design WFE, WFE Requirement; the raw coefficient blocks on Coefficients (J:R) are tool-written values</t>
        </is>
      </c>
    </row>
    <row r="7">
      <c r="A7" t="inlineStr">
        <is>
          <t xml:space="preserve">WFS: "WFS Sensing Error" (WFE row 20) sigma 3 nm is WHITE per-sample noise (Redding 2014 Eq. 32, the default ruled 2026-10-16): post-WFC coefficient Coefficients!M20 = 0.0306111 = sqrt(rank/n_w), Post WFC 0.09183 nm.</t>
        </is>
      </c>
    </row>
    <row r="8">
      <c r="A8" t="inlineStr">
        <is>
          <t xml:space="preserve">WFS, HabEx reading (alpha = 1, the sigma passes whole): type 1 in Coefficients!M20; the payload re-rolls.</t>
        </is>
      </c>
    </row>
    <row r="9">
      <c r="A9" t="inlineStr">
        <is>
          <t xml:space="preserve">budget e5hex1 from live sensitivities struct</t>
        </is>
      </c>
    </row>
    <row r="10">
      <c r="A10" t="inlineStr">
        <is>
          <t xml:space="preserve">MACOS_resources 1c8202b</t>
        </is>
      </c>
    </row>
    <row r="11">
      <c r="A11" t="inlineStr">
        <is>
          <t xml:space="preserve">piston removed (harvest opd_ref chief)</t>
        </is>
      </c>
    </row>
  </sheetData>
</worksheet>
</file>